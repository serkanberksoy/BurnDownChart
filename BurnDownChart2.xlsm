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psf\Home\Downloads\"/>
    </mc:Choice>
  </mc:AlternateContent>
  <bookViews>
    <workbookView xWindow="0" yWindow="0" windowWidth="13443" windowHeight="8663"/>
  </bookViews>
  <sheets>
    <sheet name="Burn Down Data" sheetId="1" r:id="rId1"/>
  </sheets>
  <definedNames>
    <definedName name="EndDate">'Burn Down Data'!$D$6</definedName>
    <definedName name="Holidays">'Burn Down Data'!$B$5</definedName>
    <definedName name="HoursPerDay">'Burn Down Data'!$B$2</definedName>
    <definedName name="HoursPerWeek">'Burn Down Data'!$B$2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printDays">'Burn Down Data'!$D$2</definedName>
    <definedName name="StartDate">'Burn Down Data'!$B$6</definedName>
    <definedName name="TeamSize">'Burn Down Data'!$B$3</definedName>
    <definedName name="TotalDays">'Burn Down Data'!$D$3</definedName>
    <definedName name="WeekHours">'Burn Down Data'!$A$2</definedName>
    <definedName name="WorkAmount">'Burn Down Data'!$B$4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3" i="1" s="1"/>
  <c r="D6" i="1" s="1"/>
</calcChain>
</file>

<file path=xl/sharedStrings.xml><?xml version="1.0" encoding="utf-8"?>
<sst xmlns="http://schemas.openxmlformats.org/spreadsheetml/2006/main" count="15" uniqueCount="14">
  <si>
    <t>Team Size</t>
  </si>
  <si>
    <t>Work Amount (h)</t>
  </si>
  <si>
    <t>Hours/Day</t>
  </si>
  <si>
    <t>Data Entry</t>
  </si>
  <si>
    <t>Calculated</t>
  </si>
  <si>
    <t>Sprint Days</t>
  </si>
  <si>
    <t>Date</t>
  </si>
  <si>
    <t>End Date</t>
  </si>
  <si>
    <t>Start Date</t>
  </si>
  <si>
    <t>Holidays</t>
  </si>
  <si>
    <t>TotalDays</t>
  </si>
  <si>
    <t>Remaining</t>
  </si>
  <si>
    <t>Chart Title</t>
  </si>
  <si>
    <t>EmlakApp Sprint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</si>
</sst>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20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0" fillId="4" borderId="0" xfId="0" applyFill="1"/>
    <xf numFmtId="1" fontId="0" fillId="4" borderId="0" xfId="0" applyNumberFormat="1" applyFill="1"/>
    <xf numFmtId="14" fontId="0" fillId="0" borderId="0" xfId="0" applyNumberFormat="1"/>
    <xf numFmtId="14" fontId="0" fillId="4" borderId="0" xfId="0" applyNumberFormat="1" applyFill="1"/>
    <xf numFmtId="0" fontId="2" fillId="3" borderId="0" xfId="0" applyFont="1" applyFill="1"/>
    <xf numFmtId="0" fontId="2" fillId="5" borderId="0" xfId="0" applyFont="1" applyFill="1"/>
    <xf numFmtId="14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Burn-Down EmlakApp Sprint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'Burn Down Data'!$D$10:$D$27</c:f>
              <c:numCache>
                <c:formatCode>m/d/yyyy</c:formatCode>
                <c:ptCount val="18"/>
                <c:pt idx="0">
                  <c:v>42268</c:v>
                </c:pt>
                <c:pt idx="1">
                  <c:v>42269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</c:numCache>
            </c:numRef>
          </c:cat>
          <c:val>
            <c:numRef>
              <c:f>'Burn Down Data'!$E$10:$E$27</c:f>
              <c:numCache>
                <c:formatCode>General</c:formatCode>
                <c:ptCount val="18"/>
                <c:pt idx="0">
                  <c:v>270</c:v>
                </c:pt>
                <c:pt idx="1">
                  <c:v>254</c:v>
                </c:pt>
                <c:pt idx="2">
                  <c:v>238</c:v>
                </c:pt>
                <c:pt idx="3">
                  <c:v>222</c:v>
                </c:pt>
                <c:pt idx="4">
                  <c:v>206</c:v>
                </c:pt>
                <c:pt idx="5">
                  <c:v>190</c:v>
                </c:pt>
                <c:pt idx="6">
                  <c:v>174</c:v>
                </c:pt>
                <c:pt idx="7">
                  <c:v>158</c:v>
                </c:pt>
                <c:pt idx="8">
                  <c:v>142</c:v>
                </c:pt>
                <c:pt idx="9">
                  <c:v>126</c:v>
                </c:pt>
                <c:pt idx="10">
                  <c:v>110</c:v>
                </c:pt>
                <c:pt idx="11">
                  <c:v>94</c:v>
                </c:pt>
                <c:pt idx="12">
                  <c:v>78</c:v>
                </c:pt>
                <c:pt idx="13">
                  <c:v>62</c:v>
                </c:pt>
                <c:pt idx="14">
                  <c:v>46</c:v>
                </c:pt>
                <c:pt idx="15">
                  <c:v>30</c:v>
                </c:pt>
                <c:pt idx="16">
                  <c:v>14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604816"/>
        <c:axId val="216605376"/>
      </c:lineChart>
      <c:dateAx>
        <c:axId val="2166048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605376"/>
        <c:crosses val="autoZero"/>
        <c:auto val="1"/>
        <c:lblOffset val="100"/>
        <c:baseTimeUnit val="days"/>
      </c:dateAx>
      <c:valAx>
        <c:axId val="2166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604816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23937</xdr:colOff>
          <xdr:row>0</xdr:row>
          <xdr:rowOff>14362</xdr:rowOff>
        </xdr:from>
        <xdr:to>
          <xdr:col>5</xdr:col>
          <xdr:colOff>646304</xdr:colOff>
          <xdr:row>5</xdr:row>
          <xdr:rowOff>167560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tr-TR" sz="2000" b="1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500286</xdr:colOff>
      <xdr:row>1</xdr:row>
      <xdr:rowOff>122077</xdr:rowOff>
    </xdr:from>
    <xdr:to>
      <xdr:col>20</xdr:col>
      <xdr:colOff>540980</xdr:colOff>
      <xdr:row>27</xdr:row>
      <xdr:rowOff>81385</xdr:rowOff>
    </xdr:to>
    <xdr:graphicFrame macro="">
      <xdr:nvGraphicFramePr>
        <xdr:cNvPr id="2" name="BurnDown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7"/>
  <sheetViews>
    <sheetView tabSelected="1" workbookViewId="0">
      <selection activeCell="B7" sqref="B7"/>
    </sheetView>
  </sheetViews>
  <sheetFormatPr defaultRowHeight="14.35" x14ac:dyDescent="0.45"/>
  <cols>
    <col min="1" max="1" width="15.73046875" customWidth="1"/>
    <col min="2" max="2" width="9.6640625" bestFit="1" customWidth="1"/>
    <col min="3" max="3" width="12.265625" customWidth="1"/>
    <col min="4" max="5" width="9.6640625" bestFit="1" customWidth="1"/>
  </cols>
  <sheetData>
    <row r="1" spans="1:5" x14ac:dyDescent="0.45">
      <c r="A1" s="9" t="s">
        <v>3</v>
      </c>
      <c r="B1" s="9"/>
      <c r="C1" s="10" t="s">
        <v>4</v>
      </c>
      <c r="D1" s="10"/>
    </row>
    <row r="2" spans="1:5" x14ac:dyDescent="0.45">
      <c r="A2" s="1" t="s">
        <v>2</v>
      </c>
      <c r="B2" s="1">
        <v>8</v>
      </c>
      <c r="C2" s="2" t="s">
        <v>5</v>
      </c>
      <c r="D2" s="3">
        <f>CEILING(((WorkAmount / HoursPerDay) /  TeamSize), 1)</f>
        <v>17</v>
      </c>
    </row>
    <row r="3" spans="1:5" x14ac:dyDescent="0.45">
      <c r="A3" s="1" t="s">
        <v>0</v>
      </c>
      <c r="B3" s="1">
        <v>2</v>
      </c>
      <c r="C3" s="2" t="s">
        <v>10</v>
      </c>
      <c r="D3" s="2">
        <f>SprintDays+Holidays</f>
        <v>28</v>
      </c>
    </row>
    <row r="4" spans="1:5" x14ac:dyDescent="0.45">
      <c r="A4" s="1" t="s">
        <v>1</v>
      </c>
      <c r="B4" s="1">
        <v>270</v>
      </c>
      <c r="C4" s="2"/>
      <c r="D4" s="2"/>
    </row>
    <row r="5" spans="1:5" x14ac:dyDescent="0.45">
      <c r="A5" s="1" t="s">
        <v>9</v>
      </c>
      <c r="B5" s="1">
        <v>11</v>
      </c>
      <c r="C5" s="2"/>
      <c r="D5" s="2"/>
    </row>
    <row r="6" spans="1:5" x14ac:dyDescent="0.45">
      <c r="A6" s="1" t="s">
        <v>8</v>
      </c>
      <c r="B6" s="8">
        <v>42268</v>
      </c>
      <c r="C6" s="2" t="s">
        <v>7</v>
      </c>
      <c r="D6" s="5">
        <f>StartDate + TotalDays</f>
        <v>42296</v>
      </c>
    </row>
    <row r="7" spans="1:5" x14ac:dyDescent="0.45">
      <c r="A7" s="1" t="s">
        <v>12</v>
      </c>
      <c r="B7" s="8" t="s">
        <v>13</v>
      </c>
    </row>
    <row r="9" spans="1:5" x14ac:dyDescent="0.45">
      <c r="A9" s="7" t="s">
        <v>9</v>
      </c>
      <c r="D9" s="6" t="s">
        <v>6</v>
      </c>
      <c r="E9" s="6" t="s">
        <v>11</v>
      </c>
    </row>
    <row r="10" spans="1:5" x14ac:dyDescent="0.45">
      <c r="A10" s="4">
        <v>42270</v>
      </c>
      <c r="D10" s="4">
        <v>42268</v>
      </c>
      <c r="E10">
        <v>270</v>
      </c>
    </row>
    <row r="11" spans="1:5" x14ac:dyDescent="0.45">
      <c r="A11" s="4">
        <v>42271</v>
      </c>
      <c r="C11" s="4"/>
      <c r="D11" s="4">
        <v>42269</v>
      </c>
      <c r="E11">
        <v>254</v>
      </c>
    </row>
    <row r="12" spans="1:5" x14ac:dyDescent="0.45">
      <c r="A12" s="4">
        <v>42272</v>
      </c>
      <c r="D12" s="4">
        <v>42275</v>
      </c>
      <c r="E12">
        <v>238</v>
      </c>
    </row>
    <row r="13" spans="1:5" x14ac:dyDescent="0.45">
      <c r="A13" s="4">
        <v>42273</v>
      </c>
      <c r="D13" s="4">
        <v>42276</v>
      </c>
      <c r="E13">
        <v>222</v>
      </c>
    </row>
    <row r="14" spans="1:5" x14ac:dyDescent="0.45">
      <c r="A14" s="4">
        <v>42274</v>
      </c>
      <c r="D14" s="4">
        <v>42277</v>
      </c>
      <c r="E14">
        <v>206</v>
      </c>
    </row>
    <row r="15" spans="1:5" x14ac:dyDescent="0.45">
      <c r="A15" s="4">
        <v>42280</v>
      </c>
      <c r="D15" s="4">
        <v>42278</v>
      </c>
      <c r="E15">
        <v>190</v>
      </c>
    </row>
    <row r="16" spans="1:5" x14ac:dyDescent="0.45">
      <c r="A16" s="4">
        <v>42281</v>
      </c>
      <c r="D16" s="4">
        <v>42279</v>
      </c>
      <c r="E16">
        <v>174</v>
      </c>
    </row>
    <row r="17" spans="1:5" x14ac:dyDescent="0.45">
      <c r="A17" s="4">
        <v>42287</v>
      </c>
      <c r="D17" s="4">
        <v>42282</v>
      </c>
      <c r="E17">
        <v>158</v>
      </c>
    </row>
    <row r="18" spans="1:5" x14ac:dyDescent="0.45">
      <c r="A18" s="4">
        <v>42288</v>
      </c>
      <c r="D18" s="4">
        <v>42283</v>
      </c>
      <c r="E18">
        <v>142</v>
      </c>
    </row>
    <row r="19" spans="1:5" x14ac:dyDescent="0.45">
      <c r="A19" s="4">
        <v>42294</v>
      </c>
      <c r="D19" s="4">
        <v>42284</v>
      </c>
      <c r="E19">
        <v>126</v>
      </c>
    </row>
    <row r="20" spans="1:5" x14ac:dyDescent="0.45">
      <c r="A20" s="4">
        <v>42295</v>
      </c>
      <c r="D20" s="4">
        <v>42285</v>
      </c>
      <c r="E20">
        <v>110</v>
      </c>
    </row>
    <row r="21" spans="1:5" x14ac:dyDescent="0.45">
      <c r="A21" s="4"/>
      <c r="D21" s="4">
        <v>42286</v>
      </c>
      <c r="E21">
        <v>94</v>
      </c>
    </row>
    <row r="22" spans="1:5" x14ac:dyDescent="0.45">
      <c r="A22" s="4"/>
      <c r="D22" s="4">
        <v>42289</v>
      </c>
      <c r="E22">
        <v>78</v>
      </c>
    </row>
    <row r="23" spans="1:5" x14ac:dyDescent="0.45">
      <c r="A23" s="4"/>
      <c r="D23" s="4">
        <v>42290</v>
      </c>
      <c r="E23">
        <v>62</v>
      </c>
    </row>
    <row r="24" spans="1:5" x14ac:dyDescent="0.45">
      <c r="A24" s="4"/>
      <c r="D24" s="4">
        <v>42291</v>
      </c>
      <c r="E24">
        <v>46</v>
      </c>
    </row>
    <row r="25" spans="1:5" x14ac:dyDescent="0.45">
      <c r="A25" s="4"/>
      <c r="D25" s="4">
        <v>42292</v>
      </c>
      <c r="E25">
        <v>30</v>
      </c>
    </row>
    <row r="26" spans="1:5" x14ac:dyDescent="0.45">
      <c r="A26" s="4"/>
      <c r="D26" s="4">
        <v>42293</v>
      </c>
      <c r="E26">
        <v>14</v>
      </c>
    </row>
    <row r="27" spans="1:5" x14ac:dyDescent="0.45">
      <c r="A27" s="4"/>
      <c r="D27" s="4">
        <v>42296</v>
      </c>
      <c r="E27">
        <v>0</v>
      </c>
    </row>
    <row r="28" spans="1:5" x14ac:dyDescent="0.45">
      <c r="A28" s="4"/>
      <c r="D28" s="4"/>
    </row>
    <row r="29" spans="1:5" x14ac:dyDescent="0.45">
      <c r="A29" s="4"/>
      <c r="D29" s="4"/>
    </row>
    <row r="30" spans="1:5" x14ac:dyDescent="0.45">
      <c r="A30" s="4"/>
      <c r="D30" s="4"/>
    </row>
    <row r="31" spans="1:5" x14ac:dyDescent="0.45">
      <c r="A31" s="4"/>
      <c r="D31" s="4"/>
    </row>
    <row r="32" spans="1:5" x14ac:dyDescent="0.45">
      <c r="A32" s="4"/>
      <c r="D32" s="4"/>
    </row>
    <row r="33" spans="1:4" x14ac:dyDescent="0.45">
      <c r="A33" s="4"/>
      <c r="D33" s="4"/>
    </row>
    <row r="34" spans="1:4" x14ac:dyDescent="0.45">
      <c r="A34" s="4"/>
      <c r="D34" s="4"/>
    </row>
    <row r="35" spans="1:4" x14ac:dyDescent="0.45">
      <c r="A35" s="4"/>
      <c r="D35" s="4"/>
    </row>
    <row r="36" spans="1:4" x14ac:dyDescent="0.45">
      <c r="A36" s="4"/>
      <c r="D36" s="4"/>
    </row>
    <row r="37" spans="1:4" x14ac:dyDescent="0.45">
      <c r="A37" s="4"/>
      <c r="D37" s="4"/>
    </row>
    <row r="38" spans="1:4" x14ac:dyDescent="0.45">
      <c r="A38" s="4"/>
      <c r="D38" s="4"/>
    </row>
    <row r="39" spans="1:4" x14ac:dyDescent="0.45">
      <c r="A39" s="4"/>
      <c r="D39" s="4"/>
    </row>
    <row r="40" spans="1:4" x14ac:dyDescent="0.45">
      <c r="A40" s="4"/>
      <c r="D40" s="4"/>
    </row>
    <row r="41" spans="1:4" x14ac:dyDescent="0.45">
      <c r="A41" s="4"/>
      <c r="D41" s="4"/>
    </row>
    <row r="42" spans="1:4" x14ac:dyDescent="0.45">
      <c r="A42" s="4"/>
      <c r="D42" s="4"/>
    </row>
    <row r="43" spans="1:4" x14ac:dyDescent="0.45">
      <c r="A43" s="4"/>
      <c r="D43" s="4"/>
    </row>
    <row r="44" spans="1:4" x14ac:dyDescent="0.45">
      <c r="A44" s="4"/>
      <c r="D44" s="4"/>
    </row>
    <row r="45" spans="1:4" x14ac:dyDescent="0.45">
      <c r="A45" s="4"/>
      <c r="D45" s="4"/>
    </row>
    <row r="46" spans="1:4" x14ac:dyDescent="0.45">
      <c r="A46" s="4"/>
      <c r="D46" s="4"/>
    </row>
    <row r="47" spans="1:4" x14ac:dyDescent="0.45">
      <c r="A47" s="4"/>
      <c r="D47" s="4"/>
    </row>
  </sheetData>
  <mergeCells count="2">
    <mergeCell ref="A1:B1"/>
    <mergeCell ref="C1:D1"/>
  </mergeCell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23937</xdr:colOff>
                    <xdr:row>0</xdr:row>
                    <xdr:rowOff>14362</xdr:rowOff>
                  </from>
                  <to>
                    <xdr:col>5</xdr:col>
                    <xdr:colOff>646304</xdr:colOff>
                    <xdr:row>5</xdr:row>
                    <xdr:rowOff>167560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Burn Down Data</vt:lpstr>
      <vt:lpstr>EndDate</vt:lpstr>
      <vt:lpstr>Holidays</vt:lpstr>
      <vt:lpstr>HoursPerDay</vt:lpstr>
      <vt:lpstr>HoursPerWeek</vt:lpstr>
      <vt:lpstr>SprintDays</vt:lpstr>
      <vt:lpstr>StartDate</vt:lpstr>
      <vt:lpstr>TeamSize</vt:lpstr>
      <vt:lpstr>TotalDays</vt:lpstr>
      <vt:lpstr>WeekHours</vt:lpstr>
      <vt:lpstr>WorkAmount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Serkan Berksoy</dc:creator>
  <cp:lastModifiedBy>Serkan Berksoy</cp:lastModifiedBy>
  <dcterms:created xsi:type="dcterms:W3CDTF">2015-09-22T07:39:55Z</dcterms:created>
  <dcterms:modified xsi:type="dcterms:W3CDTF">2015-09-22T10:02:35Z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e311bda1-b7e6-4459-a0de-9747f384f2ac</vt:lpwstr>
  </property>
</Properties>
</file>